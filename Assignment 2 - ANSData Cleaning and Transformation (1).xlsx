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XCEL ASSIGNMENT\ASSIGN 2\"/>
    </mc:Choice>
  </mc:AlternateContent>
  <bookViews>
    <workbookView xWindow="0" yWindow="0" windowWidth="23040" windowHeight="10440"/>
  </bookViews>
  <sheets>
    <sheet name="Dataset" sheetId="2" r:id="rId1"/>
  </sheets>
  <definedNames>
    <definedName name="_xlnm._FilterDatabase" localSheetId="0" hidden="1">Dataset!$A$1:$I$32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<sst xmlns="http://schemas.openxmlformats.org/spreadsheetml/2006/main" count="189" uniqueCount="151">
  <si>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</si>
  <si>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</si>
  <si>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</si>
  <si>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</si>
  <si>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</si>
  <si>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</si>
  <si>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</si>
  <si>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</si>
  <si>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</si>
  <si>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</si>
  <si>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</si>
  <si>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HP</t>
  </si>
  <si>
    <t>25-NOV-AU</t>
  </si>
  <si>
    <t>08-DEC-DE</t>
  </si>
  <si>
    <t>18-FEB-CA</t>
  </si>
  <si>
    <t>16-APR-ES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</si>
  <si>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</si>
  <si>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</si>
  <si>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</si>
  <si>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</si>
  <si>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</si>
  <si>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</si>
  <si>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</si>
  <si>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</si>
  <si>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</si>
  <si>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</si>
  <si>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</si>
  <si>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</si>
  <si>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</si>
  <si>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</si>
  <si>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</si>
  <si>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</si>
  <si>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UNKNOWN</t>
  </si>
  <si>
    <t>PRICE</t>
  </si>
  <si>
    <t>PRODUCT NAME</t>
  </si>
  <si>
    <t>IF(ISBLANK(E2),AVERAGE($E$2:$E$35),E2)</t>
  </si>
  <si>
    <t>IF(ISBLANK(F2),"UNKNOWN",F2)</t>
  </si>
  <si>
    <t>LAPTOP</t>
  </si>
  <si>
    <t>SNEAKERS</t>
  </si>
  <si>
    <t>COFFEE MAKER</t>
  </si>
  <si>
    <t>SMARTPHONE</t>
  </si>
  <si>
    <t>BACKPACK</t>
  </si>
  <si>
    <t>HEADPHONES</t>
  </si>
  <si>
    <t>BLENDER</t>
  </si>
  <si>
    <t>TABLET</t>
  </si>
  <si>
    <t>HIKING BOOTS</t>
  </si>
  <si>
    <t>SMARTWATCH</t>
  </si>
  <si>
    <t>LAPTOP BAG</t>
  </si>
  <si>
    <t>SUNGLASSES</t>
  </si>
  <si>
    <t>CAMPING TENT</t>
  </si>
  <si>
    <t>CAMERA</t>
  </si>
  <si>
    <t>MICROWAVE</t>
  </si>
  <si>
    <t>FITNESS TRACKER</t>
  </si>
  <si>
    <t>DRESS</t>
  </si>
  <si>
    <t>TOASTER</t>
  </si>
  <si>
    <t>JEANS</t>
  </si>
  <si>
    <t>UPPER(A2)</t>
  </si>
  <si>
    <t>T SHIRT</t>
  </si>
  <si>
    <t>CTRL+H  &gt; FIND WHAT&gt;  REPLACE WITH&gt; FIND&gt; REPLACE</t>
  </si>
  <si>
    <t xml:space="preserve">CTRL+H  &gt; FIND WHAT&gt;  REPLACE WITH&gt; FIND&gt;  REPLACE 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</si>
  <si>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</si>
  <si>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</si>
  <si>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</si>
  <si>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</si>
  <si>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</si>
  <si>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</si>
  <si>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</si>
  <si>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</si>
  <si>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</si>
  <si>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</si>
  <si>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</si>
  <si>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</si>
  <si>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</si>
  <si>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</si>
  <si>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</si>
  <si>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</si>
  <si>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</si>
  <si>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</si>
  <si>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</si>
  <si>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</si>
  <si>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</si>
  <si>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</si>
  <si>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</si>
  <si>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</si>
  <si>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</si>
  <si>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</si>
  <si>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GARMIN</t>
  </si>
  <si>
    <t>LEVI'S</t>
  </si>
  <si>
    <t>CASIO</t>
  </si>
  <si>
    <t>SELECT DATA&gt;  GO TO DATA RIBBON&gt; REMOVE DUPLICATES&gt; POP BOX&gt;  SELECT ALL&gt; TICK CONFIRM&gt; OK. RESULT</t>
  </si>
  <si>
    <t>RIGHT(A2,2)   COUNTRY CODE</t>
  </si>
  <si>
    <t>PRODUCT BRAND</t>
  </si>
  <si>
    <t xml:space="preserve">LEFT(A2,6)    MANUFACTURING DATE </t>
  </si>
  <si>
    <t>CONCATENATE(D2,"  ",E2)</t>
  </si>
  <si>
    <t>HOME&gt; NUMBER GROUP&gt; CURRENCY &gt; SELECT CURRENCY&gt; OK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</si>
  <si>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</si>
  <si>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</si>
  <si>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</si>
  <si>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</si>
  <si>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</si>
  <si>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</si>
  <si>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</si>
  <si>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</si>
  <si>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</si>
  <si>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</si>
  <si>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</si>
  <si>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</si>
  <si>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</si>
  <si>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</si>
  <si>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</si>
  <si>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</si>
  <si>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</si>
  <si>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</si>
  <si>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</si>
  <si>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</si>
  <si>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</si>
  <si>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</si>
  <si>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</si>
  <si>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</si>
  <si>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</si>
  <si>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</si>
  <si>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</si>
  <si>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</si>
  <si>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</si>
  <si>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</si>
  <si>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ELECTRONICS</t>
  </si>
  <si>
    <t>FASHION</t>
  </si>
  <si>
    <t>KITCHEN</t>
  </si>
  <si>
    <t>OUTDOOR</t>
  </si>
  <si>
    <t>ACCESSORIES</t>
  </si>
  <si>
    <t>MANUFACTURING DATE</t>
  </si>
  <si>
    <t>MANUFACTURING DATE2</t>
  </si>
  <si>
    <t>PRODUCT ID</t>
  </si>
  <si>
    <t>COUNTRY CODE</t>
  </si>
  <si>
    <t>BRAND NAME</t>
  </si>
  <si>
    <t>QUANTITY</t>
  </si>
  <si>
    <t>CATEGORY</t>
  </si>
  <si>
    <t>INCONSISTENT TEXT FORMATS PRESENT IN THE "PRODUCT NAME" COLUMN.</t>
  </si>
  <si>
    <t>PROPER(TRIM(CLEAN(E2)))          AND        UPPER(E2)</t>
  </si>
  <si>
    <t>MISSING VALUES IN THE 'PRICE' COLUMN.</t>
  </si>
  <si>
    <t>MISSING IN CATEGORIES COLUMN</t>
  </si>
  <si>
    <t>TYPOS PRESENT IN THE "CATEGORY" COLUMN.</t>
  </si>
  <si>
    <t>FIND AND REPLACE FUNCTION TO STANDARDIZE THE TEXT FORMATS IN THE "PRODUCT</t>
  </si>
  <si>
    <t>DUPLICATE ROWS WITHIN THE DATASET BASED ON THE ENTIRELY OF EACH ROW, AND REMOVE</t>
  </si>
  <si>
    <t>SPLIT THE "PRODUCT ID" COLUMN INTO TWO SEPARATE COLUMNS FOR " MANUFACTURING DATE"
AND "COUNTRY CODE".</t>
  </si>
  <si>
    <t>MERGE THE "BRAND NAME" AND "PRODUCT NAME" COLUMNS INTO ONE COLUMN NAMED PRODUCT BRAND</t>
  </si>
  <si>
    <t>THE "PRICE" COLUMN TO A CURRENCY FORMAT.</t>
  </si>
  <si>
    <t>MANUFACTURING DATE COLUMN TO DISPLAY DATES IN THE "DD-MM-YYYY"</t>
  </si>
  <si>
    <t>FULL COLUMN SELECT&gt; CTRL+1 PRESS&gt; NUMBER TAB&gt; CUSTOM &gt;  RIGHT SIDE TYPE BOX &gt; DD/MM/YYYY&gt; OK</t>
  </si>
  <si>
    <t>PRODUCT NAME, BRAND NAME AND CATEGORY UPPER CASE CHANGED</t>
  </si>
  <si>
    <t xml:space="preserve">                            OR                            DATEVALUE(B2)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</si>
</sst>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[$₹-439]#,##0.00"/>
    <numFmt numFmtId="168" formatCode="dd\/mm\/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Alignment="1"/>
    <xf numFmtId="168" fontId="1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6" xfId="0" applyFont="1" applyBorder="1"/>
    <xf numFmtId="0" fontId="2" fillId="0" borderId="8" xfId="0" applyFont="1" applyBorder="1"/>
    <xf numFmtId="166" fontId="2" fillId="0" borderId="8" xfId="0" applyNumberFormat="1" applyFont="1" applyBorder="1"/>
    <xf numFmtId="0" fontId="2" fillId="0" borderId="9" xfId="0" applyFont="1" applyBorder="1"/>
    <xf numFmtId="168" fontId="2" fillId="0" borderId="1" xfId="0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0" fillId="2" borderId="0" xfId="0" applyFont="1" applyFill="1" applyAlignment="1"/>
    <xf numFmtId="0" fontId="0" fillId="3" borderId="0" xfId="0" applyFont="1" applyFill="1" applyAlignment="1"/>
    <xf numFmtId="0" fontId="4" fillId="2" borderId="0" xfId="0" applyFont="1" applyFill="1" applyAlignment="1"/>
    <xf numFmtId="0" fontId="6" fillId="3" borderId="0" xfId="0" applyFont="1" applyFill="1" applyAlignment="1"/>
    <xf numFmtId="0" fontId="4" fillId="3" borderId="0" xfId="0" applyFont="1" applyFill="1" applyAlignment="1"/>
  </cellXfs>
  <cellStyles count="1">
    <cellStyle name="Normal" xfId="0" builtinId="0"/>
  </cellStyles>
  <dxfs count="33"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dd\/mm\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dd\/mm\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[$₹-43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2" totalsRowShown="0" headerRowDxfId="7" dataDxfId="15" headerRowBorderDxfId="13" tableBorderDxfId="14" totalsRowBorderDxfId="12">
  <autoFilter ref="A1:J32"/>
  <tableColumns count="10">
    <tableColumn id="1" name="PRODUCT ID" dataDxfId="1"/>
    <tableColumn id="2" name="MANUFACTURING DATE" dataDxfId="2"/>
    <tableColumn id="3" name="MANUFACTURING DATE2" dataDxfId="5"/>
    <tableColumn id="4" name="COUNTRY CODE" dataDxfId="4">
      <calculatedColumnFormula>RIGHT(Table1[[#This Row],[PRODUCT ID]],2)</calculatedColumnFormula>
    </tableColumn>
    <tableColumn id="5" name="PRODUCT NAME" dataDxfId="6"/>
    <tableColumn id="6" name="BRAND NAME" dataDxfId="11"/>
    <tableColumn id="7" name="PRODUCT BRAND" dataDxfId="10">
      <calculatedColumnFormula>CONCATENATE(E2," ",F2)</calculatedColumnFormula>
    </tableColumn>
    <tableColumn id="8" name="PRICE" dataDxfId="9"/>
    <tableColumn id="9" name="QUANTITY" dataDxfId="3"/>
    <tableColumn id="10" name="CATEGORY" dataDxfId="8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tabSelected="1" topLeftCell="B1" zoomScaleNormal="100" workbookViewId="0">
      <selection activeCell="J34" sqref="J34"/>
    </sheetView>
  </sheetViews>
  <sheetFormatPr defaultColWidth="12.6640625" defaultRowHeight="15" customHeight="1"/>
  <cols>
    <col min="1" max="1" width="16.88671875" bestFit="1" customWidth="1"/>
    <col min="2" max="2" width="27.21875" bestFit="1" customWidth="1"/>
    <col min="3" max="3" width="28.21875" bestFit="1" customWidth="1"/>
    <col min="4" max="4" width="20.44140625" bestFit="1" customWidth="1"/>
    <col min="5" max="5" width="20.44140625" customWidth="1"/>
    <col min="6" max="6" width="16.21875" customWidth="1"/>
    <col min="7" max="7" width="26.77734375" bestFit="1" customWidth="1"/>
    <col min="8" max="8" width="12.6640625" customWidth="1"/>
    <col min="9" max="9" width="14.5546875" style="23" bestFit="1" customWidth="1"/>
    <col min="10" max="10" width="13.77734375" bestFit="1" customWidth="1"/>
    <col min="13" max="13" width="107.109375" bestFit="1" customWidth="1"/>
    <col min="15" max="15" width="15.88671875" bestFit="1" customWidth="1"/>
  </cols>
  <sheetData>
    <row r="1" spans="1:18" ht="15.75" customHeight="1">
      <c r="A1" s="20" t="s">
        <v>132</v>
      </c>
      <c r="B1" s="5" t="s">
        <v>130</v>
      </c>
      <c r="C1" s="6" t="s">
        <v>131</v>
      </c>
      <c r="D1" s="6" t="s">
        <v>133</v>
      </c>
      <c r="E1" s="7" t="s">
        <v>34</v>
      </c>
      <c r="F1" s="6" t="s">
        <v>134</v>
      </c>
      <c r="G1" s="7" t="s">
        <v>91</v>
      </c>
      <c r="H1" s="7" t="s">
        <v>33</v>
      </c>
      <c r="I1" s="26" t="s">
        <v>135</v>
      </c>
      <c r="J1" s="27" t="s">
        <v>136</v>
      </c>
      <c r="M1" s="30" t="s">
        <v>149</v>
      </c>
    </row>
    <row r="2" spans="1:18" ht="15.75" customHeight="1">
      <c r="A2" s="24" t="s">
        <v>0</v>
      </c>
      <c r="B2" s="16" t="s">
        <v>95</v>
      </c>
      <c r="C2" s="14">
        <v>46050</v>
      </c>
      <c r="D2" s="18" t="str">
        <f>RIGHT(Table1[[#This Row],[PRODUCT ID]],2)</f>
        <v>US</v>
      </c>
      <c r="E2" s="8" t="s">
        <v>37</v>
      </c>
      <c r="F2" s="8" t="s">
        <v>60</v>
      </c>
      <c r="G2" s="8" t="str">
        <f>CONCATENATE(E2," ",F2)</f>
        <v>LAPTOP DELL</v>
      </c>
      <c r="H2" s="9">
        <v>1000</v>
      </c>
      <c r="I2" s="21">
        <v>30</v>
      </c>
      <c r="J2" s="10" t="s">
        <v>125</v>
      </c>
      <c r="M2" s="28" t="s">
        <v>56</v>
      </c>
    </row>
    <row r="3" spans="1:18" ht="15.75" customHeight="1">
      <c r="A3" s="24" t="s">
        <v>1</v>
      </c>
      <c r="B3" s="16" t="s">
        <v>96</v>
      </c>
      <c r="C3" s="14">
        <v>46068</v>
      </c>
      <c r="D3" s="18" t="str">
        <f>RIGHT(Table1[[#This Row],[PRODUCT ID]],2)</f>
        <v>US</v>
      </c>
      <c r="E3" s="8" t="s">
        <v>38</v>
      </c>
      <c r="F3" s="8" t="s">
        <v>61</v>
      </c>
      <c r="G3" s="8" t="str">
        <f t="shared" ref="G3:G32" si="0">CONCATENATE(E3," ",F3)</f>
        <v>SNEAKERS NIKE</v>
      </c>
      <c r="H3" s="9">
        <v>80</v>
      </c>
      <c r="I3" s="21">
        <v>15</v>
      </c>
      <c r="J3" s="10" t="s">
        <v>126</v>
      </c>
      <c r="L3" s="1"/>
      <c r="M3" s="1"/>
      <c r="N3" s="1"/>
      <c r="O3" s="1"/>
      <c r="P3" s="1"/>
      <c r="Q3" s="1"/>
      <c r="R3" s="1"/>
    </row>
    <row r="4" spans="1:18" ht="15.75" customHeight="1">
      <c r="A4" s="24" t="s">
        <v>2</v>
      </c>
      <c r="B4" s="16" t="s">
        <v>97</v>
      </c>
      <c r="C4" s="14">
        <v>46084</v>
      </c>
      <c r="D4" s="18" t="str">
        <f>RIGHT(Table1[[#This Row],[PRODUCT ID]],2)</f>
        <v>US</v>
      </c>
      <c r="E4" s="8" t="s">
        <v>39</v>
      </c>
      <c r="F4" s="8" t="s">
        <v>62</v>
      </c>
      <c r="G4" s="8" t="str">
        <f t="shared" si="0"/>
        <v>COFFEE MAKER KEURIG</v>
      </c>
      <c r="H4" s="9">
        <v>130</v>
      </c>
      <c r="I4" s="21">
        <v>40</v>
      </c>
      <c r="J4" s="10" t="s">
        <v>127</v>
      </c>
      <c r="L4" s="2"/>
      <c r="M4" s="29" t="s">
        <v>137</v>
      </c>
      <c r="N4" s="1"/>
      <c r="O4" s="1"/>
      <c r="P4" s="1"/>
      <c r="Q4" s="1"/>
      <c r="R4" s="1"/>
    </row>
    <row r="5" spans="1:18" ht="15.75" customHeight="1">
      <c r="A5" s="24" t="s">
        <v>3</v>
      </c>
      <c r="B5" s="16" t="s">
        <v>98</v>
      </c>
      <c r="C5" s="14">
        <v>46123</v>
      </c>
      <c r="D5" s="18" t="str">
        <f>RIGHT(Table1[[#This Row],[PRODUCT ID]],2)</f>
        <v>US</v>
      </c>
      <c r="E5" s="8" t="s">
        <v>40</v>
      </c>
      <c r="F5" s="8" t="s">
        <v>63</v>
      </c>
      <c r="G5" s="8" t="str">
        <f t="shared" si="0"/>
        <v>SMARTPHONE SAMSUNG</v>
      </c>
      <c r="H5" s="9">
        <v>900</v>
      </c>
      <c r="I5" s="21">
        <v>25</v>
      </c>
      <c r="J5" s="10" t="s">
        <v>125</v>
      </c>
      <c r="L5" s="2"/>
      <c r="M5" s="31" t="s">
        <v>138</v>
      </c>
      <c r="N5" s="1"/>
      <c r="O5" s="1"/>
      <c r="P5" s="1"/>
      <c r="Q5" s="1"/>
      <c r="R5" s="1"/>
    </row>
    <row r="6" spans="1:18" ht="15.75" customHeight="1">
      <c r="A6" s="24" t="s">
        <v>4</v>
      </c>
      <c r="B6" s="16" t="s">
        <v>99</v>
      </c>
      <c r="C6" s="14">
        <v>46164</v>
      </c>
      <c r="D6" s="18" t="str">
        <f>RIGHT(Table1[[#This Row],[PRODUCT ID]],2)</f>
        <v>US</v>
      </c>
      <c r="E6" s="8" t="s">
        <v>41</v>
      </c>
      <c r="F6" s="8" t="s">
        <v>64</v>
      </c>
      <c r="G6" s="8" t="str">
        <f t="shared" si="0"/>
        <v>BACKPACK NORTH FACE</v>
      </c>
      <c r="H6" s="9">
        <v>70</v>
      </c>
      <c r="I6" s="21">
        <v>20</v>
      </c>
      <c r="J6" s="10" t="s">
        <v>32</v>
      </c>
    </row>
    <row r="7" spans="1:18" ht="15.75" customHeight="1">
      <c r="A7" s="24" t="s">
        <v>5</v>
      </c>
      <c r="B7" s="16" t="s">
        <v>100</v>
      </c>
      <c r="C7" s="14">
        <v>46180</v>
      </c>
      <c r="D7" s="18" t="str">
        <f>RIGHT(Table1[[#This Row],[PRODUCT ID]],2)</f>
        <v>UK</v>
      </c>
      <c r="E7" s="8" t="s">
        <v>42</v>
      </c>
      <c r="F7" s="8" t="s">
        <v>65</v>
      </c>
      <c r="G7" s="8" t="str">
        <f t="shared" si="0"/>
        <v>HEADPHONES SONY</v>
      </c>
      <c r="H7" s="9">
        <v>309.35483870967744</v>
      </c>
      <c r="I7" s="21">
        <v>45</v>
      </c>
      <c r="J7" s="10" t="s">
        <v>125</v>
      </c>
      <c r="M7" s="28" t="s">
        <v>139</v>
      </c>
    </row>
    <row r="8" spans="1:18" ht="15.75" customHeight="1">
      <c r="A8" s="24" t="s">
        <v>6</v>
      </c>
      <c r="B8" s="16" t="s">
        <v>101</v>
      </c>
      <c r="C8" s="14">
        <v>46222</v>
      </c>
      <c r="D8" s="18" t="str">
        <f>RIGHT(Table1[[#This Row],[PRODUCT ID]],2)</f>
        <v>UK</v>
      </c>
      <c r="E8" s="8" t="s">
        <v>57</v>
      </c>
      <c r="F8" s="8" t="s">
        <v>66</v>
      </c>
      <c r="G8" s="8" t="str">
        <f t="shared" si="0"/>
        <v>T SHIRT ADIDAS</v>
      </c>
      <c r="H8" s="9">
        <v>30</v>
      </c>
      <c r="I8" s="21">
        <v>5</v>
      </c>
      <c r="J8" s="10" t="s">
        <v>126</v>
      </c>
      <c r="M8" s="28" t="s">
        <v>35</v>
      </c>
    </row>
    <row r="9" spans="1:18" ht="15.75" customHeight="1">
      <c r="A9" s="24" t="s">
        <v>7</v>
      </c>
      <c r="B9" s="16" t="s">
        <v>102</v>
      </c>
      <c r="C9" s="14">
        <v>46257</v>
      </c>
      <c r="D9" s="18" t="str">
        <f>RIGHT(Table1[[#This Row],[PRODUCT ID]],2)</f>
        <v>UK</v>
      </c>
      <c r="E9" s="8" t="s">
        <v>43</v>
      </c>
      <c r="F9" s="8" t="s">
        <v>67</v>
      </c>
      <c r="G9" s="8" t="str">
        <f t="shared" si="0"/>
        <v>BLENDER NINJA</v>
      </c>
      <c r="H9" s="9">
        <v>90</v>
      </c>
      <c r="I9" s="21">
        <v>35</v>
      </c>
      <c r="J9" s="10" t="s">
        <v>127</v>
      </c>
    </row>
    <row r="10" spans="1:18" ht="15.75" customHeight="1">
      <c r="A10" s="24" t="s">
        <v>8</v>
      </c>
      <c r="B10" s="16" t="s">
        <v>103</v>
      </c>
      <c r="C10" s="14">
        <v>46270</v>
      </c>
      <c r="D10" s="18" t="str">
        <f>RIGHT(Table1[[#This Row],[PRODUCT ID]],2)</f>
        <v>UK</v>
      </c>
      <c r="E10" s="8" t="s">
        <v>44</v>
      </c>
      <c r="F10" s="8" t="s">
        <v>68</v>
      </c>
      <c r="G10" s="8" t="str">
        <f t="shared" si="0"/>
        <v>TABLET APPLE</v>
      </c>
      <c r="H10" s="9">
        <v>500</v>
      </c>
      <c r="I10" s="21">
        <v>50</v>
      </c>
      <c r="J10" s="10" t="s">
        <v>125</v>
      </c>
      <c r="M10" s="32" t="s">
        <v>140</v>
      </c>
    </row>
    <row r="11" spans="1:18" ht="15.75" customHeight="1">
      <c r="A11" s="24" t="s">
        <v>9</v>
      </c>
      <c r="B11" s="16" t="s">
        <v>104</v>
      </c>
      <c r="C11" s="14">
        <v>46309</v>
      </c>
      <c r="D11" s="18" t="str">
        <f>RIGHT(Table1[[#This Row],[PRODUCT ID]],2)</f>
        <v>UK</v>
      </c>
      <c r="E11" s="8" t="s">
        <v>45</v>
      </c>
      <c r="F11" s="8" t="s">
        <v>69</v>
      </c>
      <c r="G11" s="8" t="str">
        <f t="shared" si="0"/>
        <v>HIKING BOOTS TIMBERLAND</v>
      </c>
      <c r="H11" s="9">
        <v>130</v>
      </c>
      <c r="I11" s="21">
        <v>10</v>
      </c>
      <c r="J11" s="10" t="s">
        <v>128</v>
      </c>
      <c r="M11" s="29" t="s">
        <v>36</v>
      </c>
    </row>
    <row r="12" spans="1:18" ht="15.75" customHeight="1">
      <c r="A12" s="24" t="s">
        <v>10</v>
      </c>
      <c r="B12" s="16" t="s">
        <v>105</v>
      </c>
      <c r="C12" s="14">
        <v>46190</v>
      </c>
      <c r="D12" s="18" t="str">
        <f>RIGHT(Table1[[#This Row],[PRODUCT ID]],2)</f>
        <v>IN</v>
      </c>
      <c r="E12" s="8" t="s">
        <v>37</v>
      </c>
      <c r="F12" s="8" t="s">
        <v>11</v>
      </c>
      <c r="G12" s="8" t="str">
        <f t="shared" si="0"/>
        <v>LAPTOP HP</v>
      </c>
      <c r="H12" s="9">
        <v>950</v>
      </c>
      <c r="I12" s="21">
        <v>25</v>
      </c>
      <c r="J12" s="10" t="s">
        <v>125</v>
      </c>
    </row>
    <row r="13" spans="1:18" ht="15.75" customHeight="1">
      <c r="A13" s="24" t="s">
        <v>12</v>
      </c>
      <c r="B13" s="16" t="s">
        <v>106</v>
      </c>
      <c r="C13" s="14">
        <v>46351</v>
      </c>
      <c r="D13" s="18" t="str">
        <f>RIGHT(Table1[[#This Row],[PRODUCT ID]],2)</f>
        <v>AU</v>
      </c>
      <c r="E13" s="8" t="s">
        <v>38</v>
      </c>
      <c r="F13" s="8" t="s">
        <v>66</v>
      </c>
      <c r="G13" s="8" t="str">
        <f t="shared" si="0"/>
        <v>SNEAKERS ADIDAS</v>
      </c>
      <c r="H13" s="9">
        <v>90</v>
      </c>
      <c r="I13" s="21">
        <v>40</v>
      </c>
      <c r="J13" s="10" t="s">
        <v>32</v>
      </c>
      <c r="M13" s="30" t="s">
        <v>141</v>
      </c>
    </row>
    <row r="14" spans="1:18" ht="15.75" customHeight="1">
      <c r="A14" s="24" t="s">
        <v>13</v>
      </c>
      <c r="B14" s="16" t="s">
        <v>107</v>
      </c>
      <c r="C14" s="14">
        <v>46364</v>
      </c>
      <c r="D14" s="18" t="str">
        <f>RIGHT(Table1[[#This Row],[PRODUCT ID]],2)</f>
        <v>DE</v>
      </c>
      <c r="E14" s="8" t="s">
        <v>39</v>
      </c>
      <c r="F14" s="8" t="s">
        <v>70</v>
      </c>
      <c r="G14" s="8" t="str">
        <f t="shared" si="0"/>
        <v>COFFEE MAKER NESPRESSO</v>
      </c>
      <c r="H14" s="9">
        <v>120</v>
      </c>
      <c r="I14" s="21">
        <v>35</v>
      </c>
      <c r="J14" s="10" t="s">
        <v>32</v>
      </c>
      <c r="M14" s="28" t="s">
        <v>59</v>
      </c>
    </row>
    <row r="15" spans="1:18" ht="15.75" customHeight="1">
      <c r="A15" s="24" t="s">
        <v>14</v>
      </c>
      <c r="B15" s="16" t="s">
        <v>108</v>
      </c>
      <c r="C15" s="14">
        <v>46071</v>
      </c>
      <c r="D15" s="18" t="str">
        <f>RIGHT(Table1[[#This Row],[PRODUCT ID]],2)</f>
        <v>CA</v>
      </c>
      <c r="E15" s="8" t="s">
        <v>46</v>
      </c>
      <c r="F15" s="8" t="s">
        <v>71</v>
      </c>
      <c r="G15" s="8" t="str">
        <f t="shared" si="0"/>
        <v>SMARTWATCH FITBIT</v>
      </c>
      <c r="H15" s="9">
        <v>150</v>
      </c>
      <c r="I15" s="21">
        <v>15</v>
      </c>
      <c r="J15" s="10" t="s">
        <v>125</v>
      </c>
    </row>
    <row r="16" spans="1:18" ht="15.75" customHeight="1">
      <c r="A16" s="24" t="s">
        <v>15</v>
      </c>
      <c r="B16" s="16" t="s">
        <v>109</v>
      </c>
      <c r="C16" s="14">
        <v>46128</v>
      </c>
      <c r="D16" s="18" t="str">
        <f>RIGHT(Table1[[#This Row],[PRODUCT ID]],2)</f>
        <v>ES</v>
      </c>
      <c r="E16" s="8" t="s">
        <v>42</v>
      </c>
      <c r="F16" s="8" t="s">
        <v>72</v>
      </c>
      <c r="G16" s="8" t="str">
        <f t="shared" si="0"/>
        <v>HEADPHONES BOSE</v>
      </c>
      <c r="H16" s="9">
        <v>250</v>
      </c>
      <c r="I16" s="21">
        <v>20</v>
      </c>
      <c r="J16" s="10" t="s">
        <v>125</v>
      </c>
      <c r="M16" s="29" t="s">
        <v>142</v>
      </c>
    </row>
    <row r="17" spans="1:13" ht="15.75" customHeight="1">
      <c r="A17" s="24" t="s">
        <v>16</v>
      </c>
      <c r="B17" s="16" t="s">
        <v>110</v>
      </c>
      <c r="C17" s="14">
        <v>46255</v>
      </c>
      <c r="D17" s="18" t="str">
        <f>RIGHT(Table1[[#This Row],[PRODUCT ID]],2)</f>
        <v>CA</v>
      </c>
      <c r="E17" s="8" t="s">
        <v>47</v>
      </c>
      <c r="F17" s="8" t="s">
        <v>73</v>
      </c>
      <c r="G17" s="8" t="str">
        <f t="shared" si="0"/>
        <v>LAPTOP BAG SAMSONITE</v>
      </c>
      <c r="H17" s="9">
        <v>50</v>
      </c>
      <c r="I17" s="21">
        <v>35</v>
      </c>
      <c r="J17" s="10" t="s">
        <v>129</v>
      </c>
      <c r="M17" s="29" t="s">
        <v>58</v>
      </c>
    </row>
    <row r="18" spans="1:13" ht="15.75" customHeight="1">
      <c r="A18" s="24" t="s">
        <v>17</v>
      </c>
      <c r="B18" s="16" t="s">
        <v>111</v>
      </c>
      <c r="C18" s="14">
        <v>46254</v>
      </c>
      <c r="D18" s="18" t="str">
        <f>RIGHT(Table1[[#This Row],[PRODUCT ID]],2)</f>
        <v>CN</v>
      </c>
      <c r="E18" s="8" t="s">
        <v>46</v>
      </c>
      <c r="F18" s="8" t="s">
        <v>74</v>
      </c>
      <c r="G18" s="8" t="str">
        <f t="shared" si="0"/>
        <v>SMARTWATCH HUAWEI</v>
      </c>
      <c r="H18" s="9">
        <v>160</v>
      </c>
      <c r="I18" s="21">
        <v>15</v>
      </c>
      <c r="J18" s="10" t="s">
        <v>125</v>
      </c>
    </row>
    <row r="19" spans="1:13" ht="15.75" customHeight="1">
      <c r="A19" s="24" t="s">
        <v>18</v>
      </c>
      <c r="B19" s="16" t="s">
        <v>112</v>
      </c>
      <c r="C19" s="14">
        <v>46049</v>
      </c>
      <c r="D19" s="18" t="str">
        <f>RIGHT(Table1[[#This Row],[PRODUCT ID]],2)</f>
        <v>IT</v>
      </c>
      <c r="E19" s="8" t="s">
        <v>37</v>
      </c>
      <c r="F19" s="8" t="s">
        <v>75</v>
      </c>
      <c r="G19" s="8" t="str">
        <f t="shared" si="0"/>
        <v>LAPTOP ASUS</v>
      </c>
      <c r="H19" s="9">
        <v>980</v>
      </c>
      <c r="I19" s="21">
        <v>10</v>
      </c>
      <c r="J19" s="10" t="s">
        <v>125</v>
      </c>
      <c r="M19" s="4"/>
    </row>
    <row r="20" spans="1:13" ht="15.75" customHeight="1">
      <c r="A20" s="24" t="s">
        <v>19</v>
      </c>
      <c r="B20" s="16" t="s">
        <v>113</v>
      </c>
      <c r="C20" s="14">
        <v>46082</v>
      </c>
      <c r="D20" s="18" t="str">
        <f>RIGHT(Table1[[#This Row],[PRODUCT ID]],2)</f>
        <v>UK</v>
      </c>
      <c r="E20" s="8" t="s">
        <v>48</v>
      </c>
      <c r="F20" s="8" t="s">
        <v>76</v>
      </c>
      <c r="G20" s="8" t="str">
        <f t="shared" si="0"/>
        <v>SUNGLASSES OAKLEY</v>
      </c>
      <c r="H20" s="9">
        <v>150</v>
      </c>
      <c r="I20" s="21">
        <v>15</v>
      </c>
      <c r="J20" s="10" t="s">
        <v>126</v>
      </c>
      <c r="M20" s="28" t="s">
        <v>143</v>
      </c>
    </row>
    <row r="21" spans="1:13" ht="15.75" customHeight="1">
      <c r="A21" s="24" t="s">
        <v>20</v>
      </c>
      <c r="B21" s="16" t="s">
        <v>114</v>
      </c>
      <c r="C21" s="14">
        <v>46248</v>
      </c>
      <c r="D21" s="18" t="str">
        <f>RIGHT(Table1[[#This Row],[PRODUCT ID]],2)</f>
        <v>US</v>
      </c>
      <c r="E21" s="8" t="s">
        <v>49</v>
      </c>
      <c r="F21" s="8" t="s">
        <v>77</v>
      </c>
      <c r="G21" s="8" t="str">
        <f t="shared" si="0"/>
        <v>CAMPING TENT COLEMAN</v>
      </c>
      <c r="H21" s="9">
        <v>309.35483870967744</v>
      </c>
      <c r="I21" s="21">
        <v>10</v>
      </c>
      <c r="J21" s="10" t="s">
        <v>128</v>
      </c>
      <c r="M21" s="28" t="s">
        <v>89</v>
      </c>
    </row>
    <row r="22" spans="1:13" ht="15.75" customHeight="1">
      <c r="A22" s="24" t="s">
        <v>21</v>
      </c>
      <c r="B22" s="16" t="s">
        <v>115</v>
      </c>
      <c r="C22" s="14">
        <v>46156</v>
      </c>
      <c r="D22" s="18" t="str">
        <f>RIGHT(Table1[[#This Row],[PRODUCT ID]],2)</f>
        <v>RU</v>
      </c>
      <c r="E22" s="8" t="s">
        <v>50</v>
      </c>
      <c r="F22" s="8" t="s">
        <v>78</v>
      </c>
      <c r="G22" s="8" t="str">
        <f t="shared" si="0"/>
        <v>CAMERA NIKON</v>
      </c>
      <c r="H22" s="9">
        <v>700</v>
      </c>
      <c r="I22" s="21">
        <v>50</v>
      </c>
      <c r="J22" s="10" t="s">
        <v>125</v>
      </c>
    </row>
    <row r="23" spans="1:13" ht="15.75" customHeight="1">
      <c r="A23" s="24" t="s">
        <v>22</v>
      </c>
      <c r="B23" s="16" t="s">
        <v>116</v>
      </c>
      <c r="C23" s="14">
        <v>46031</v>
      </c>
      <c r="D23" s="18" t="str">
        <f>RIGHT(Table1[[#This Row],[PRODUCT ID]],2)</f>
        <v>CA</v>
      </c>
      <c r="E23" s="8" t="s">
        <v>51</v>
      </c>
      <c r="F23" s="8" t="s">
        <v>79</v>
      </c>
      <c r="G23" s="8" t="str">
        <f t="shared" si="0"/>
        <v>MICROWAVE PANASONIC</v>
      </c>
      <c r="H23" s="9">
        <v>80</v>
      </c>
      <c r="I23" s="21">
        <v>20</v>
      </c>
      <c r="J23" s="10" t="s">
        <v>127</v>
      </c>
      <c r="M23" s="29" t="s">
        <v>144</v>
      </c>
    </row>
    <row r="24" spans="1:13" ht="15.75" customHeight="1">
      <c r="A24" s="24" t="s">
        <v>23</v>
      </c>
      <c r="B24" s="16" t="s">
        <v>101</v>
      </c>
      <c r="C24" s="14">
        <v>46222</v>
      </c>
      <c r="D24" s="18" t="str">
        <f>RIGHT(Table1[[#This Row],[PRODUCT ID]],2)</f>
        <v>BR</v>
      </c>
      <c r="E24" s="8" t="s">
        <v>52</v>
      </c>
      <c r="F24" s="8" t="s">
        <v>80</v>
      </c>
      <c r="G24" s="8" t="str">
        <f t="shared" si="0"/>
        <v>FITNESS TRACKER XIAOMI</v>
      </c>
      <c r="H24" s="9">
        <v>150</v>
      </c>
      <c r="I24" s="21">
        <v>30</v>
      </c>
      <c r="J24" s="10" t="s">
        <v>32</v>
      </c>
      <c r="M24" s="32" t="s">
        <v>92</v>
      </c>
    </row>
    <row r="25" spans="1:13" ht="15.75" customHeight="1">
      <c r="A25" s="24" t="s">
        <v>24</v>
      </c>
      <c r="B25" s="16" t="s">
        <v>117</v>
      </c>
      <c r="C25" s="14">
        <v>46294</v>
      </c>
      <c r="D25" s="18" t="str">
        <f>RIGHT(Table1[[#This Row],[PRODUCT ID]],2)</f>
        <v>CA</v>
      </c>
      <c r="E25" s="8" t="s">
        <v>40</v>
      </c>
      <c r="F25" s="8" t="s">
        <v>81</v>
      </c>
      <c r="G25" s="8" t="str">
        <f t="shared" si="0"/>
        <v>SMARTPHONE GOOGLE</v>
      </c>
      <c r="H25" s="9">
        <v>800</v>
      </c>
      <c r="I25" s="21">
        <v>45</v>
      </c>
      <c r="J25" s="10" t="s">
        <v>125</v>
      </c>
      <c r="M25" s="29" t="s">
        <v>90</v>
      </c>
    </row>
    <row r="26" spans="1:13" ht="15.75" customHeight="1">
      <c r="A26" s="24" t="s">
        <v>25</v>
      </c>
      <c r="B26" s="16" t="s">
        <v>118</v>
      </c>
      <c r="C26" s="14">
        <v>46176</v>
      </c>
      <c r="D26" s="18" t="str">
        <f>RIGHT(Table1[[#This Row],[PRODUCT ID]],2)</f>
        <v>CA</v>
      </c>
      <c r="E26" s="8" t="s">
        <v>48</v>
      </c>
      <c r="F26" s="8" t="s">
        <v>82</v>
      </c>
      <c r="G26" s="8" t="str">
        <f t="shared" si="0"/>
        <v>SUNGLASSES RAY-BAN</v>
      </c>
      <c r="H26" s="9">
        <v>309.35483870967744</v>
      </c>
      <c r="I26" s="21">
        <v>25</v>
      </c>
      <c r="J26" s="10" t="s">
        <v>126</v>
      </c>
    </row>
    <row r="27" spans="1:13" ht="15.75" customHeight="1">
      <c r="A27" s="24" t="s">
        <v>26</v>
      </c>
      <c r="B27" s="16" t="s">
        <v>119</v>
      </c>
      <c r="C27" s="14">
        <v>46214</v>
      </c>
      <c r="D27" s="18" t="str">
        <f>RIGHT(Table1[[#This Row],[PRODUCT ID]],2)</f>
        <v>CA</v>
      </c>
      <c r="E27" s="8" t="s">
        <v>43</v>
      </c>
      <c r="F27" s="8" t="s">
        <v>83</v>
      </c>
      <c r="G27" s="8" t="str">
        <f t="shared" si="0"/>
        <v>BLENDER VITAMIX</v>
      </c>
      <c r="H27" s="9">
        <v>400</v>
      </c>
      <c r="I27" s="21">
        <v>40</v>
      </c>
      <c r="J27" s="10" t="s">
        <v>127</v>
      </c>
      <c r="M27" s="3"/>
    </row>
    <row r="28" spans="1:13" ht="15.75" customHeight="1">
      <c r="A28" s="24" t="s">
        <v>27</v>
      </c>
      <c r="B28" s="16" t="s">
        <v>120</v>
      </c>
      <c r="C28" s="14">
        <v>46088</v>
      </c>
      <c r="D28" s="18" t="str">
        <f>RIGHT(Table1[[#This Row],[PRODUCT ID]],2)</f>
        <v>CA</v>
      </c>
      <c r="E28" s="8" t="s">
        <v>53</v>
      </c>
      <c r="F28" s="8" t="s">
        <v>84</v>
      </c>
      <c r="G28" s="8" t="str">
        <f t="shared" si="0"/>
        <v>DRESS ZARA</v>
      </c>
      <c r="H28" s="9">
        <v>60</v>
      </c>
      <c r="I28" s="21">
        <v>30</v>
      </c>
      <c r="J28" s="10" t="s">
        <v>126</v>
      </c>
      <c r="M28" s="30" t="s">
        <v>145</v>
      </c>
    </row>
    <row r="29" spans="1:13" ht="15.75" customHeight="1">
      <c r="A29" s="24" t="s">
        <v>28</v>
      </c>
      <c r="B29" s="16" t="s">
        <v>121</v>
      </c>
      <c r="C29" s="14">
        <v>46125</v>
      </c>
      <c r="D29" s="18" t="str">
        <f>RIGHT(Table1[[#This Row],[PRODUCT ID]],2)</f>
        <v>CA</v>
      </c>
      <c r="E29" s="8" t="s">
        <v>54</v>
      </c>
      <c r="F29" s="8" t="s">
        <v>85</v>
      </c>
      <c r="G29" s="8" t="str">
        <f t="shared" si="0"/>
        <v>TOASTER HAMILTON</v>
      </c>
      <c r="H29" s="9">
        <v>40</v>
      </c>
      <c r="I29" s="21">
        <v>10</v>
      </c>
      <c r="J29" s="10" t="s">
        <v>127</v>
      </c>
      <c r="M29" s="28" t="s">
        <v>93</v>
      </c>
    </row>
    <row r="30" spans="1:13" ht="15.75" customHeight="1">
      <c r="A30" s="24" t="s">
        <v>29</v>
      </c>
      <c r="B30" s="16" t="s">
        <v>122</v>
      </c>
      <c r="C30" s="14">
        <v>46166</v>
      </c>
      <c r="D30" s="18" t="str">
        <f>RIGHT(Table1[[#This Row],[PRODUCT ID]],2)</f>
        <v>CA</v>
      </c>
      <c r="E30" s="8" t="s">
        <v>52</v>
      </c>
      <c r="F30" s="8" t="s">
        <v>86</v>
      </c>
      <c r="G30" s="8" t="str">
        <f t="shared" si="0"/>
        <v>FITNESS TRACKER GARMIN</v>
      </c>
      <c r="H30" s="9">
        <v>130</v>
      </c>
      <c r="I30" s="21">
        <v>5</v>
      </c>
      <c r="J30" s="10" t="s">
        <v>125</v>
      </c>
    </row>
    <row r="31" spans="1:13" ht="15.75" customHeight="1">
      <c r="A31" s="24" t="s">
        <v>30</v>
      </c>
      <c r="B31" s="16" t="s">
        <v>123</v>
      </c>
      <c r="C31" s="14">
        <v>46358</v>
      </c>
      <c r="D31" s="18" t="str">
        <f>RIGHT(Table1[[#This Row],[PRODUCT ID]],2)</f>
        <v>CA</v>
      </c>
      <c r="E31" s="8" t="s">
        <v>55</v>
      </c>
      <c r="F31" s="8" t="s">
        <v>87</v>
      </c>
      <c r="G31" s="8" t="str">
        <f t="shared" si="0"/>
        <v>JEANS LEVI'S</v>
      </c>
      <c r="H31" s="9">
        <v>50</v>
      </c>
      <c r="I31" s="21">
        <v>50</v>
      </c>
      <c r="J31" s="10" t="s">
        <v>126</v>
      </c>
      <c r="M31" s="29" t="s">
        <v>146</v>
      </c>
    </row>
    <row r="32" spans="1:13" ht="15.75" customHeight="1">
      <c r="A32" s="25" t="s">
        <v>31</v>
      </c>
      <c r="B32" s="17" t="s">
        <v>124</v>
      </c>
      <c r="C32" s="15">
        <v>46212</v>
      </c>
      <c r="D32" s="19" t="str">
        <f>RIGHT(Table1[[#This Row],[PRODUCT ID]],2)</f>
        <v>FR</v>
      </c>
      <c r="E32" s="11" t="s">
        <v>46</v>
      </c>
      <c r="F32" s="11" t="s">
        <v>88</v>
      </c>
      <c r="G32" s="11" t="str">
        <f t="shared" si="0"/>
        <v>SMARTWATCH CASIO</v>
      </c>
      <c r="H32" s="12">
        <v>100</v>
      </c>
      <c r="I32" s="22">
        <v>20</v>
      </c>
      <c r="J32" s="13" t="s">
        <v>129</v>
      </c>
      <c r="M32" s="32" t="s">
        <v>94</v>
      </c>
    </row>
    <row r="33" spans="13:13" ht="15.75" customHeight="1"/>
    <row r="34" spans="13:13" ht="15.75" customHeight="1">
      <c r="M34" s="28" t="s">
        <v>147</v>
      </c>
    </row>
    <row r="35" spans="13:13" ht="15.75" customHeight="1">
      <c r="M35" s="28" t="s">
        <v>148</v>
      </c>
    </row>
    <row r="36" spans="13:13" ht="15.75" customHeight="1">
      <c r="M36" s="30" t="s">
        <v>150</v>
      </c>
    </row>
    <row r="37" spans="13:13" ht="15.75" customHeight="1"/>
    <row r="38" spans="13:13" ht="15.75" customHeight="1"/>
    <row r="39" spans="13:13" ht="15.75" customHeight="1"/>
    <row r="40" spans="13:13" ht="15.75" customHeight="1"/>
    <row r="41" spans="13:13" ht="15.75" customHeight="1"/>
    <row r="42" spans="13:13" ht="15.75" customHeight="1"/>
    <row r="43" spans="13:13" ht="15.75" customHeight="1"/>
    <row r="44" spans="13:13" ht="15.75" customHeight="1"/>
    <row r="45" spans="13:13" ht="15.75" customHeight="1"/>
    <row r="46" spans="13:13" ht="15.75" customHeight="1"/>
    <row r="47" spans="13:13" ht="15.75" customHeight="1"/>
    <row r="48" spans="13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{B19546D0-EE44-4820-9F0F-EDF4FA4901D3}</x14:id>
        </ext>
      </extLst>
    </cfRule>
  </conditionalFormatting>
  <conditionalFormatting sqref="J2:J32">
    <cfRule type="containsText" dxfId="0" priority="1" operator="containsText" text="ELECTRONICS">
      <formula>NOT(ISERROR(SEARCH("ELECTRONICS",J2)))</formula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9546D0-EE44-4820-9F0F-EDF4FA4901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</dc:creator>
  <cp:lastModifiedBy>DELL</cp:lastModifiedBy>
  <dcterms:created xsi:type="dcterms:W3CDTF">2026-07-23T14:43:37Z</dcterms:created>
  <dcterms:modified xsi:type="dcterms:W3CDTF">2026-09-30T11:43:15Z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